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Mi unidad\Duoc_2025_2\Capstone_2025\Evaluaciones\803D\"/>
    </mc:Choice>
  </mc:AlternateContent>
  <xr:revisionPtr revIDLastSave="0" documentId="13_ncr:1_{3A26022D-4F47-4FE2-8586-109FB1D950A1}" xr6:coauthVersionLast="47" xr6:coauthVersionMax="47" xr10:uidLastSave="{00000000-0000-0000-0000-000000000000}"/>
  <bookViews>
    <workbookView xWindow="28680" yWindow="-120" windowWidth="20730" windowHeight="11040" xr2:uid="{00000000-000D-0000-FFFF-FFFF00000000}"/>
  </bookViews>
  <sheets>
    <sheet name="EVALUACION1" sheetId="1" r:id="rId1"/>
    <sheet name="RUBRICA" sheetId="6" r:id="rId2"/>
    <sheet name="Hoja1" sheetId="7" r:id="rId3"/>
    <sheet name="ESCALA_IEP" sheetId="2" state="hidden" r:id="rId4"/>
    <sheet name="ESCALA_PRESENTACION" sheetId="3" state="hidden" r:id="rId5"/>
    <sheet name="ESCALA_TRAB_EQUIP" sheetId="4" state="hidden" r:id="rId6"/>
    <sheet name="RELEVANCIA-PUNTAJE" sheetId="5"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I56" i="1"/>
  <c r="F56" i="1"/>
  <c r="G56" i="1" s="1"/>
  <c r="E56" i="1"/>
  <c r="J55" i="1"/>
  <c r="K55" i="1" s="1"/>
  <c r="H55" i="1"/>
  <c r="I55" i="1" s="1"/>
  <c r="F55" i="1"/>
  <c r="G55" i="1" s="1"/>
  <c r="D55" i="1"/>
  <c r="E55" i="1" s="1"/>
  <c r="J54" i="1"/>
  <c r="K54" i="1" s="1"/>
  <c r="H54" i="1"/>
  <c r="I54" i="1" s="1"/>
  <c r="F54" i="1"/>
  <c r="G54" i="1" s="1"/>
  <c r="D54" i="1"/>
  <c r="E54" i="1" s="1"/>
  <c r="J45" i="1"/>
  <c r="K45" i="1" s="1"/>
  <c r="I45" i="1"/>
  <c r="F45" i="1"/>
  <c r="G45" i="1" s="1"/>
  <c r="E45" i="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E17" i="1"/>
  <c r="G17" i="1"/>
  <c r="I17" i="1"/>
  <c r="J17" i="1"/>
  <c r="K17" i="1" s="1"/>
  <c r="F31" i="1"/>
  <c r="G31" i="1" s="1"/>
  <c r="H31" i="1"/>
  <c r="I31" i="1" s="1"/>
  <c r="J31" i="1"/>
  <c r="K31" i="1" s="1"/>
  <c r="F14" i="1"/>
  <c r="G14" i="1" s="1"/>
  <c r="H14" i="1"/>
  <c r="I14" i="1" s="1"/>
  <c r="J14" i="1"/>
  <c r="K14" i="1" s="1"/>
  <c r="J33" i="1"/>
  <c r="K33" i="1" s="1"/>
  <c r="I33" i="1"/>
  <c r="F33" i="1"/>
  <c r="G33" i="1" s="1"/>
  <c r="E33" i="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<sst xmlns="http://schemas.openxmlformats.org/spreadsheetml/2006/main" count="201" uniqueCount="127">
  <si>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</si>
  <si>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</si>
  <si>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</si>
  <si>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</si>
  <si>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</si>
  <si>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</si>
  <si>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</si>
  <si>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</si>
  <si>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</si>
  <si>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</si>
  <si>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</si>
  <si>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</si>
  <si>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</si>
  <si>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</si>
  <si>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</si>
  <si>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</si>
  <si>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</si>
  <si>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</si>
  <si>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</si>
  <si>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</si>
  <si>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</si>
  <si>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</si>
  <si>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</si>
  <si>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</si>
  <si>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</si>
  <si>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</si>
  <si>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</si>
  <si>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</si>
  <si>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</si>
  <si>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</si>
  <si>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</si>
  <si>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</si>
  <si>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</si>
  <si>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</si>
  <si>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</si>
  <si>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</si>
  <si>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</si>
  <si>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</si>
  <si>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</si>
  <si>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</si>
  <si>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</si>
  <si>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</si>
  <si>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</si>
  <si>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</si>
  <si>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</si>
  <si>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</si>
  <si>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</si>
  <si>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</si>
  <si>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</si>
  <si>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</si>
  <si>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</si>
  <si>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</si>
  <si>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</si>
  <si>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</si>
  <si>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</si>
  <si>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</si>
  <si>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</si>
  <si>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</si>
  <si>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</si>
  <si>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</si>
  <si>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</si>
  <si>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</si>
  <si>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</si>
  <si>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</si>
  <si>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</si>
  <si>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</si>
  <si>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</si>
  <si>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</si>
  <si>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</si>
  <si>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</si>
  <si>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</si>
  <si>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</si>
  <si>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</si>
  <si>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</si>
  <si>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</si>
  <si>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</si>
  <si>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</si>
  <si>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</si>
  <si>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</si>
  <si>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</si>
  <si>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</si>
  <si>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</si>
  <si>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</si>
  <si>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</si>
  <si>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</si>
  <si>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</si>
  <si>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</si>
  <si>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</si>
  <si>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</si>
  <si>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</si>
  <si>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</si>
  <si>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</si>
  <si>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</si>
  <si>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</si>
  <si>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</si>
  <si>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Carlos Manzo</t>
  </si>
  <si>
    <t>Benjamin Huentemilla</t>
  </si>
  <si>
    <t>Zuar Sepulveda</t>
  </si>
  <si>
    <t>Análisis del Video Según la Rúbrica</t>
  </si>
  <si>
    <t>Justificación: El video describe de manera clara y detallada el proyecto: el desarrollo de una plataforma web para digitalizar y automatizar la gestión de partidas de rol [01:31:00]. La relevancia para el campo laboral es evidente, ya que aplican tecnologías y arquitecturas de software modernas y demandadas como la arquitectura de tres capas, API REST con Django y bases de datos con PostgreSQL [02:51:85], demostrando la aplicación práctica de conocimientos de ingeniería de software.</t>
  </si>
  <si>
    <t>3. Relaciona el Proyecto APT con sus intereses profesionales.</t>
  </si>
  <si>
    <t>Justificación: Se menciona explícitamente el interés por resolver problemas reales como la frustración del jugador [01:20:94] y la carga administrativa del personal [01:25:31]. El enfoque en optimizar la experiencia de usuario y la eficiencia operativa demuestra un claro interés profesional en el desarrollo de software orientado a soluciones de negocio.</t>
  </si>
  <si>
    <t>4. Argumenta por qué el proyecto es factible de realizarse en el marco de la asignatura.</t>
  </si>
  <si>
    <t>5. Formula objetivos claros, concisos y coherentes con la disciplina y la situación a abordar.</t>
  </si>
  <si>
    <t>6. Propone una metodología de trabajo que es pertinente con los recursos disponibles y pertinente con los requerimientos disciplinares.</t>
  </si>
  <si>
    <t>Justificación: Se adopta explícitamente la metodología ágil Scrum [09:12:08], que es un estándar en la industria del desarrollo de software y es totalmente pertinente para los requerimientos del proyecto. La elección de la arquitectura de tres capas [02:51:85] también es una decisión metodológica acertada y bien justificada.</t>
  </si>
  <si>
    <t>7. Establece un plan de trabajo para su proyecto APT considerando los recursos, duración, actividades, y obstaculizadores en el desarrollo de las actividades.</t>
  </si>
  <si>
    <t>Justificación: El plan de trabajo está muy bien detallado, considerando la duración (10 semanas), las actividades (divididas en 101 historias de usuario [05:27:00]) y los recursos tecnológicos (Django, PostgreSQL, etc.). El enfoque ágil de Scrum está diseñado para gestionar y adaptarse a los obstáculos de forma iterativa.</t>
  </si>
  <si>
    <t>9. Utiliza reglas de redacción, ortografía y las normas para citas y referencias.</t>
  </si>
  <si>
    <t>10. Cumple completando el contenido del informe de presentación del proyecto de acuerdo con lo que le solicita el docente.</t>
  </si>
  <si>
    <t>11. Expone el tema utilizando un lenguaje técnico disciplinar al presentar su propuesta y responde evidenciando un manejo de la información en todo momento.</t>
  </si>
  <si>
    <t>Justificación: El presentador utiliza de forma constante y correcta un amplio vocabulario técnico: "arquitectura de tres capas", "API REST", "CRUD", "Scrum", "historias de usuario", "épicas", "Product Backlog", "Sprint Planning", "hashing de contraseñas", etc. [07:13:00], demostrando un dominio total del tema.</t>
  </si>
  <si>
    <t>12. Desarrolla un plan de trabajo que permita dar cuenta del logro de los objetivos... y establece hitos claros para demostrar el estado de avance.</t>
  </si>
  <si>
    <t>13. Colaboración y trabajo en equipo.</t>
  </si>
  <si>
    <r>
      <t>Evaluación:</t>
    </r>
    <r>
      <rPr>
        <sz val="11"/>
        <color rgb="FF000000"/>
        <rFont val="Calibri"/>
      </rPr>
      <t xml:space="preserve"> </t>
    </r>
    <r>
      <rPr>
        <b/>
        <sz val="11"/>
        <color rgb="FF000000"/>
        <rFont val="Calibri"/>
      </rPr>
      <t>Logrado (100%) - 10 Puntos</t>
    </r>
  </si>
  <si>
    <r>
      <t>Evaluación:</t>
    </r>
    <r>
      <rPr>
        <sz val="11"/>
        <color rgb="FF000000"/>
        <rFont val="Calibri"/>
      </rPr>
      <t xml:space="preserve"> </t>
    </r>
    <r>
      <rPr>
        <b/>
        <sz val="11"/>
        <color rgb="FF000000"/>
        <rFont val="Calibri"/>
      </rPr>
      <t>Logrado - 5 Puntos</t>
    </r>
  </si>
  <si>
    <r>
      <t>Justificación:</t>
    </r>
    <r>
      <rPr>
        <sz val="11"/>
        <color rgb="FF000000"/>
        <rFont val="Calibri"/>
      </rPr>
      <t xml:space="preserve"> El proyecto demuestra competencias clave de un perfil de egreso en ingeniería o desarrollo de software, como el análisis de requerimientos (historias de usuario [05:27:00]), diseño de arquitectura de software, implementación de soluciones (prototipo funcional [08:02:00]) y gestión de proyectos bajo metodologías ágiles (Scrum [09:12:08]).</t>
    </r>
  </si>
  <si>
    <r>
      <t>Evaluación:</t>
    </r>
    <r>
      <rPr>
        <sz val="11"/>
        <color rgb="FF000000"/>
        <rFont val="Calibri"/>
      </rPr>
      <t xml:space="preserve"> </t>
    </r>
    <r>
      <rPr>
        <b/>
        <sz val="11"/>
        <color rgb="FF000000"/>
        <rFont val="Calibri"/>
      </rPr>
      <t>Logrado (100%) - 5 Puntos</t>
    </r>
  </si>
  <si>
    <r>
      <t>Justificación:</t>
    </r>
    <r>
      <rPr>
        <sz val="11"/>
        <color rgb="FF000000"/>
        <rFont val="Calibri"/>
      </rPr>
      <t xml:space="preserve"> La factibilidad se argumenta sólidamente a través de una planificación detallada. Presentan un </t>
    </r>
    <r>
      <rPr>
        <i/>
        <sz val="11"/>
        <color rgb="FF000000"/>
        <rFont val="Calibri"/>
      </rPr>
      <t>Roadmap</t>
    </r>
    <r>
      <rPr>
        <sz val="11"/>
        <color rgb="FF000000"/>
        <rFont val="Calibri"/>
      </rPr>
      <t xml:space="preserve"> de 10 semanas [11:14:00], un </t>
    </r>
    <r>
      <rPr>
        <i/>
        <sz val="11"/>
        <color rgb="FF000000"/>
        <rFont val="Calibri"/>
      </rPr>
      <t>Product Backlog</t>
    </r>
    <r>
      <rPr>
        <sz val="11"/>
        <color rgb="FF000000"/>
        <rFont val="Calibri"/>
      </rPr>
      <t xml:space="preserve"> priorizado [06:37:00] y un plan de </t>
    </r>
    <r>
      <rPr>
        <i/>
        <sz val="11"/>
        <color rgb="FF000000"/>
        <rFont val="Calibri"/>
      </rPr>
      <t>Sprints</t>
    </r>
    <r>
      <rPr>
        <sz val="11"/>
        <color rgb="FF000000"/>
        <rFont val="Calibri"/>
      </rPr>
      <t xml:space="preserve"> [07:13:00], lo que demuestra que el alcance del proyecto está bien medido y es realizable en el tiempo estipulado.</t>
    </r>
  </si>
  <si>
    <r>
      <t>Justificación:</t>
    </r>
    <r>
      <rPr>
        <sz val="11"/>
        <color rgb="FF000000"/>
        <rFont val="Calibri"/>
      </rPr>
      <t xml:space="preserve"> Se presenta un objetivo general claro ("diseñar, desarrollar, codificar, testear, implementar y depurar un sistema web") y varios objetivos específicos bien definidos y medibles, como "documentar bajo metodología Scrum" y "desarrollar un panel de administración" [09:04:77].</t>
    </r>
  </si>
  <si>
    <r>
      <t>Justificación:</t>
    </r>
    <r>
      <rPr>
        <sz val="11"/>
        <color rgb="FF000000"/>
        <rFont val="Calibri"/>
      </rPr>
      <t xml:space="preserve"> Se presentan múltiples evidencias concretas del trabajo realizado: un prototipo funcional de la web [08:02:00], diagramas de flujo, de clases, de componentes y de casos de uso [11:54:00], además de los artefactos de Scrum como el </t>
    </r>
    <r>
      <rPr>
        <i/>
        <sz val="11"/>
        <color rgb="FF000000"/>
        <rFont val="Calibri"/>
      </rPr>
      <t>Product Backlog</t>
    </r>
    <r>
      <rPr>
        <sz val="11"/>
        <color rgb="FF000000"/>
        <rFont val="Calibri"/>
      </rPr>
      <t xml:space="preserve"> y la planificación de </t>
    </r>
    <r>
      <rPr>
        <i/>
        <sz val="11"/>
        <color rgb="FF000000"/>
        <rFont val="Calibri"/>
      </rPr>
      <t>sprints</t>
    </r>
    <r>
      <rPr>
        <sz val="11"/>
        <color rgb="FF000000"/>
        <rFont val="Calibri"/>
      </rPr>
      <t>.</t>
    </r>
  </si>
  <si>
    <r>
      <t>Evaluación:</t>
    </r>
    <r>
      <rPr>
        <sz val="11"/>
        <color rgb="FF000000"/>
        <rFont val="Calibri"/>
      </rPr>
      <t xml:space="preserve"> </t>
    </r>
    <r>
      <rPr>
        <b/>
        <sz val="11"/>
        <color rgb="FF000000"/>
        <rFont val="Calibri"/>
      </rPr>
      <t>No Evaluable</t>
    </r>
  </si>
  <si>
    <r>
      <t>Justificación:</t>
    </r>
    <r>
      <rPr>
        <sz val="11"/>
        <color rgb="FF000000"/>
        <rFont val="Calibri"/>
      </rPr>
      <t xml:space="preserve"> Este indicador aplica a un informe escrito. No es posible evaluar la ortografía o el formato de citas de un documento a partir de una presentación en video.</t>
    </r>
  </si>
  <si>
    <r>
      <t>Justificación:</t>
    </r>
    <r>
      <rPr>
        <sz val="11"/>
        <color rgb="FF000000"/>
        <rFont val="Calibri"/>
      </rPr>
      <t xml:space="preserve"> Aunque no se conocen los requisitos específicos del docente, la presentación es extremadamente completa y cubre todos los aspectos que se esperarían de un informe de proyecto de software: definición del problema, solución, objetivos, arquitectura, metodología, planificación y evidencias.</t>
    </r>
  </si>
  <si>
    <r>
      <t>Justificación:</t>
    </r>
    <r>
      <rPr>
        <sz val="11"/>
        <color rgb="FF000000"/>
        <rFont val="Calibri"/>
      </rPr>
      <t xml:space="preserve"> El </t>
    </r>
    <r>
      <rPr>
        <i/>
        <sz val="11"/>
        <color rgb="FF000000"/>
        <rFont val="Calibri"/>
      </rPr>
      <t>Roadmap</t>
    </r>
    <r>
      <rPr>
        <sz val="11"/>
        <color rgb="FF000000"/>
        <rFont val="Calibri"/>
      </rPr>
      <t xml:space="preserve"> [11:14:00] y la planificación de </t>
    </r>
    <r>
      <rPr>
        <i/>
        <sz val="11"/>
        <color rgb="FF000000"/>
        <rFont val="Calibri"/>
      </rPr>
      <t>sprints</t>
    </r>
    <r>
      <rPr>
        <sz val="11"/>
        <color rgb="FF000000"/>
        <rFont val="Calibri"/>
      </rPr>
      <t xml:space="preserve"> [07:13:00] cumplen perfectamente con este indicador. Las fases del </t>
    </r>
    <r>
      <rPr>
        <i/>
        <sz val="11"/>
        <color rgb="FF000000"/>
        <rFont val="Calibri"/>
      </rPr>
      <t>roadmap</t>
    </r>
    <r>
      <rPr>
        <sz val="11"/>
        <color rgb="FF000000"/>
        <rFont val="Calibri"/>
      </rPr>
      <t xml:space="preserve"> (Autenticación y Perfiles, Gestión de Personajes e Ítems, etc.) actúan como hitos claros que marcan el progreso hacia la consecución de los objetivos.</t>
    </r>
  </si>
  <si>
    <r>
      <t>Justificación:</t>
    </r>
    <r>
      <rPr>
        <sz val="11"/>
        <color rgb="FF000000"/>
        <rFont val="Calibri"/>
      </rPr>
      <t xml:space="preserve"> Aunque la presentación la realiza una sola persona, el uso del plural ("decidimos", "nuestro backlog") y la elección de la metodología Scrum, que se fundamenta en la colaboración, son evidencias claras de un trabajo en equipo bien ejecutado.</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</si>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</sst>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u/>
      <sz val="11"/>
      <color theme="10"/>
      <name val="Calibri"/>
    </font>
    <font>
      <b/>
      <sz val="13.5"/>
      <color rgb="FF000000"/>
      <name val="Calibri"/>
    </font>
    <font>
      <b/>
      <sz val="11"/>
      <color rgb="FF000000"/>
      <name val="Calibri"/>
    </font>
    <font>
      <i/>
      <sz val="11"/>
      <color rgb="FF000000"/>
      <name val="Calibri"/>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2">
    <xf numFmtId="0" fontId="0" fillId="0" borderId="0"/>
    <xf numFmtId="0" fontId="17" fillId="0" borderId="0" applyNumberFormat="0" applyFill="0" applyBorder="0" applyAlignment="0" applyProtection="0"/>
  </cellStyleXfs>
  <cellXfs count="9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4" xfId="0" applyFont="1" applyFill="1" applyBorder="1" applyAlignment="1">
      <alignment horizontal="center" vertical="center"/>
    </xf>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0" fontId="2" fillId="0" borderId="14"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18" fillId="0" borderId="0" xfId="0" applyFont="1" applyAlignment="1">
      <alignment vertical="center"/>
    </xf>
    <xf numFmtId="0" fontId="19" fillId="0" borderId="0" xfId="0" applyFont="1"/>
    <xf numFmtId="0" fontId="0" fillId="0" borderId="0" xfId="0" applyAlignment="1">
      <alignment horizontal="left" vertical="center" indent="1"/>
    </xf>
    <xf numFmtId="0" fontId="19" fillId="0" borderId="0" xfId="0" applyFont="1" applyAlignment="1">
      <alignment horizontal="left" vertical="center" indent="1"/>
    </xf>
    <xf numFmtId="0" fontId="17" fillId="0" borderId="0" xfId="1" applyAlignment="1">
      <alignment horizontal="left" vertical="center" indent="1"/>
    </xf>
    <xf numFmtId="0" fontId="17" fillId="0" borderId="0" xfId="1" applyAlignment="1">
      <alignment horizontal="left" vertical="center" wrapText="1" indent="1"/>
    </xf>
  </cellXfs>
  <cellStyles count="2">
    <cellStyle name="Hipervínculo" xfId="1" builtinId="8"/>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hyperlink" Target="http://www.youtube.com/watch?v=tDi1QG84hMM&amp;t=33128" TargetMode="External"/><Relationship Id="rId2" Type="http://schemas.openxmlformats.org/officeDocument/2006/relationships/hyperlink" Target="http://www.youtube.com/watch?v=tDi1QG84hMM&amp;t=5131" TargetMode="External"/><Relationship Id="rId1" Type="http://schemas.openxmlformats.org/officeDocument/2006/relationships/hyperlink" Target="http://www.youtube.com/watch?v=tDi1QG84hMM&amp;t=5460" TargetMode="External"/><Relationship Id="rId5" Type="http://schemas.openxmlformats.org/officeDocument/2006/relationships/hyperlink" Target="http://www.youtube.com/watch?v=tDi1QG84hMM&amp;t=25980" TargetMode="External"/><Relationship Id="rId4" Type="http://schemas.openxmlformats.org/officeDocument/2006/relationships/hyperlink" Target="http://www.youtube.com/watch?v=tDi1QG84hMM&amp;t=19620"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B22" zoomScale="120" zoomScaleNormal="120" workbookViewId="0">
      <selection activeCell="D35" sqref="D35"/>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6.3</v>
      </c>
      <c r="D4" s="6">
        <f>$C$35</f>
        <v>5.3</v>
      </c>
      <c r="E4" s="51">
        <f>C4*C$2+D4*D$2</f>
        <v>6.05</v>
      </c>
      <c r="G4" s="1"/>
    </row>
    <row r="5" spans="1:11" ht="14.4" x14ac:dyDescent="0.3">
      <c r="A5" s="5">
        <v>2</v>
      </c>
      <c r="B5" s="38" t="s">
        <v>96</v>
      </c>
      <c r="C5" s="6">
        <f>EVALUACION1!$C$24</f>
        <v>6.3</v>
      </c>
      <c r="D5" s="6">
        <f>C47</f>
        <v>5.3</v>
      </c>
      <c r="E5" s="51">
        <f t="shared" ref="E5:E6" si="0">C5*C$2+D5*D$2</f>
        <v>6.05</v>
      </c>
      <c r="G5" s="1"/>
    </row>
    <row r="6" spans="1:11" ht="14.4" x14ac:dyDescent="0.3">
      <c r="A6" s="5">
        <v>3</v>
      </c>
      <c r="B6" s="38" t="s">
        <v>97</v>
      </c>
      <c r="C6" s="6">
        <f>EVALUACION1!$C$24</f>
        <v>6.3</v>
      </c>
      <c r="D6" s="6">
        <f>C58</f>
        <v>5.3</v>
      </c>
      <c r="E6" s="51">
        <f t="shared" si="0"/>
        <v>6.05</v>
      </c>
      <c r="G6" s="1"/>
    </row>
    <row r="11" spans="1:11" ht="18" outlineLevel="1" x14ac:dyDescent="0.3">
      <c r="A11" s="69" t="s">
        <v>12</v>
      </c>
      <c r="B11" s="15"/>
      <c r="C11" s="55" t="s">
        <v>13</v>
      </c>
      <c r="D11" s="62" t="s">
        <v>14</v>
      </c>
      <c r="E11" s="66"/>
      <c r="F11" s="66"/>
      <c r="G11" s="66"/>
      <c r="H11" s="66"/>
      <c r="I11" s="66"/>
      <c r="J11" s="66"/>
      <c r="K11" s="63"/>
    </row>
    <row r="12" spans="1:11" ht="14.4" outlineLevel="1" x14ac:dyDescent="0.3">
      <c r="A12" s="65"/>
      <c r="B12" s="25" t="s">
        <v>15</v>
      </c>
      <c r="C12" s="54"/>
      <c r="D12" s="62" t="s">
        <v>7</v>
      </c>
      <c r="E12" s="63"/>
      <c r="F12" s="62" t="s">
        <v>8</v>
      </c>
      <c r="G12" s="63"/>
      <c r="H12" s="68" t="s">
        <v>77</v>
      </c>
      <c r="I12" s="63"/>
      <c r="J12" s="62" t="s">
        <v>10</v>
      </c>
      <c r="K12" s="63"/>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7</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c r="E17" s="17" t="str">
        <f t="shared" ref="E17" si="12">IF(D17="X",100*0.1,"")</f>
        <v/>
      </c>
      <c r="F17" s="17"/>
      <c r="G17" s="17" t="str">
        <f t="shared" ref="G17" si="13">IF(F17="X",60*0.1,"")</f>
        <v/>
      </c>
      <c r="H17" s="17" t="s">
        <v>126</v>
      </c>
      <c r="I17" s="17">
        <f t="shared" ref="I17" si="14">IF(H17="X",30*0.1,"")</f>
        <v>3</v>
      </c>
      <c r="J17" s="17" t="str">
        <f t="shared" ref="J17:J22" si="15">IF($C17=NL,"X","")</f>
        <v/>
      </c>
      <c r="K17" s="17" t="str">
        <f t="shared" ref="K17:K22" si="16">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ref="D17:D22" si="17">IF($C18=CL,"X","")</f>
        <v>X</v>
      </c>
      <c r="E18" s="17">
        <f t="shared" ref="E18" si="18">IF(D18="X",100*0.1,"")</f>
        <v>10</v>
      </c>
      <c r="F18" s="17" t="str">
        <f t="shared" ref="F17:F22" si="19">IF($C18=L,"X","")</f>
        <v/>
      </c>
      <c r="G18" s="17" t="str">
        <f t="shared" ref="G18" si="20">IF(F18="X",60*0.1,"")</f>
        <v/>
      </c>
      <c r="H18" s="17" t="str">
        <f t="shared" ref="H17:H22" si="21">IF($C18=ML,"X","")</f>
        <v/>
      </c>
      <c r="I18" s="17" t="str">
        <f t="shared" ref="I18" si="22">IF(H18="X",30*0.1,"")</f>
        <v/>
      </c>
      <c r="J18" s="17" t="str">
        <f t="shared" si="15"/>
        <v/>
      </c>
      <c r="K18" s="17" t="str">
        <f t="shared" si="16"/>
        <v/>
      </c>
    </row>
    <row r="19" spans="1:11" ht="24" outlineLevel="1" x14ac:dyDescent="0.3">
      <c r="A19" s="70"/>
      <c r="B19" s="41" t="str">
        <f>RUBRICA!A12</f>
        <v>8. Determina evidencias, justificando cómo estas dan cuenta del logro de las actividades del Proyecto APT.</v>
      </c>
      <c r="C19" s="39" t="s">
        <v>7</v>
      </c>
      <c r="D19" s="17" t="str">
        <f t="shared" si="17"/>
        <v>X</v>
      </c>
      <c r="E19" s="17">
        <f>IF(D19="X",100*0.05,"")</f>
        <v>5</v>
      </c>
      <c r="F19" s="17" t="str">
        <f t="shared" si="19"/>
        <v/>
      </c>
      <c r="G19" s="17" t="str">
        <f t="shared" ref="G19" si="23">IF(F19="X",60*0.05,"")</f>
        <v/>
      </c>
      <c r="H19" s="17" t="str">
        <f t="shared" si="21"/>
        <v/>
      </c>
      <c r="I19" s="17" t="str">
        <f t="shared" ref="I19" si="24">IF(H19="X",30*0.05,"")</f>
        <v/>
      </c>
      <c r="J19" s="17" t="str">
        <f t="shared" si="15"/>
        <v/>
      </c>
      <c r="K19" s="17" t="str">
        <f t="shared" si="16"/>
        <v/>
      </c>
    </row>
    <row r="20" spans="1:11" ht="24" outlineLevel="1" x14ac:dyDescent="0.3">
      <c r="A20" s="70"/>
      <c r="B20" s="41" t="str">
        <f>RUBRICA!A13</f>
        <v xml:space="preserve">9. Utiliza reglas de redacción, ortografía (literal, puntual, acentual) y las normas para citas y referencias. </v>
      </c>
      <c r="C20" s="39" t="s">
        <v>7</v>
      </c>
      <c r="D20" s="17" t="str">
        <f t="shared" si="17"/>
        <v>X</v>
      </c>
      <c r="E20" s="17">
        <f>IF(D20="X",100*0.05,"")</f>
        <v>5</v>
      </c>
      <c r="F20" s="17" t="str">
        <f t="shared" si="19"/>
        <v/>
      </c>
      <c r="G20" s="17" t="str">
        <f t="shared" si="10"/>
        <v/>
      </c>
      <c r="H20" s="17" t="str">
        <f t="shared" si="21"/>
        <v/>
      </c>
      <c r="I20" s="17" t="str">
        <f t="shared" si="11"/>
        <v/>
      </c>
      <c r="J20" s="17" t="str">
        <f t="shared" si="15"/>
        <v/>
      </c>
      <c r="K20" s="17" t="str">
        <f t="shared" si="16"/>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7"/>
        <v>X</v>
      </c>
      <c r="E21" s="17">
        <f t="shared" si="9"/>
        <v>5</v>
      </c>
      <c r="F21" s="17" t="str">
        <f t="shared" si="19"/>
        <v/>
      </c>
      <c r="G21" s="17" t="str">
        <f t="shared" si="10"/>
        <v/>
      </c>
      <c r="H21" s="17" t="str">
        <f t="shared" si="21"/>
        <v/>
      </c>
      <c r="I21" s="17" t="str">
        <f t="shared" si="11"/>
        <v/>
      </c>
      <c r="J21" s="17" t="str">
        <f t="shared" si="15"/>
        <v/>
      </c>
      <c r="K21" s="17" t="str">
        <f t="shared" si="16"/>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7"/>
        <v>X</v>
      </c>
      <c r="E22" s="17">
        <f>IF(D22="X",100*0.1,"")</f>
        <v>10</v>
      </c>
      <c r="F22" s="17" t="str">
        <f t="shared" si="19"/>
        <v/>
      </c>
      <c r="G22" s="17" t="str">
        <f>IF(F22="X",60*0.1,"")</f>
        <v/>
      </c>
      <c r="H22" s="17" t="str">
        <f t="shared" si="21"/>
        <v/>
      </c>
      <c r="I22" s="17" t="str">
        <f>IF(H22="X",30*0.1,"")</f>
        <v/>
      </c>
      <c r="J22" s="17" t="str">
        <f t="shared" si="15"/>
        <v/>
      </c>
      <c r="K22" s="17" t="str">
        <f t="shared" si="16"/>
        <v/>
      </c>
    </row>
    <row r="23" spans="1:11" ht="15.75" customHeight="1" outlineLevel="1" x14ac:dyDescent="0.35">
      <c r="A23" s="65"/>
      <c r="B23" s="40" t="s">
        <v>6</v>
      </c>
      <c r="C23" s="44">
        <f>E23+G23+I23+K23</f>
        <v>63</v>
      </c>
      <c r="D23" s="20"/>
      <c r="E23" s="20">
        <f>SUM(E13:E22)</f>
        <v>60</v>
      </c>
      <c r="F23" s="20"/>
      <c r="G23" s="20">
        <f>SUM(G13:G22)</f>
        <v>0</v>
      </c>
      <c r="H23" s="20"/>
      <c r="I23" s="20">
        <f>SUM(I13:I22)</f>
        <v>3</v>
      </c>
      <c r="J23" s="20"/>
      <c r="K23" s="20">
        <f>SUM(K13:K22)</f>
        <v>0</v>
      </c>
    </row>
    <row r="24" spans="1:11" ht="15.75" customHeight="1" outlineLevel="1" x14ac:dyDescent="0.35">
      <c r="A24" s="54"/>
      <c r="B24" s="43" t="s">
        <v>16</v>
      </c>
      <c r="C24" s="21">
        <f>VLOOKUP(C23,ESCALA_IEP!A2:B142,2,FALSE)</f>
        <v>6.3</v>
      </c>
    </row>
    <row r="25" spans="1:11" ht="15.75" customHeight="1" x14ac:dyDescent="0.3"/>
    <row r="26" spans="1:11" ht="15.75" customHeight="1" x14ac:dyDescent="0.3"/>
    <row r="27" spans="1:11" ht="15.75" customHeight="1" x14ac:dyDescent="0.3">
      <c r="A27" s="64" t="s">
        <v>18</v>
      </c>
      <c r="B27" s="53" t="s">
        <v>19</v>
      </c>
      <c r="C27" s="56" t="str">
        <f>$B$4</f>
        <v>Carlos Manzo</v>
      </c>
      <c r="D27" s="57"/>
      <c r="E27" s="57"/>
      <c r="F27" s="57"/>
      <c r="G27" s="57"/>
      <c r="H27" s="57"/>
      <c r="I27" s="57"/>
      <c r="J27" s="57"/>
      <c r="K27" s="58"/>
    </row>
    <row r="28" spans="1:11" ht="15.75" customHeight="1" x14ac:dyDescent="0.3">
      <c r="A28" s="65"/>
      <c r="B28" s="54"/>
      <c r="C28" s="59"/>
      <c r="D28" s="60"/>
      <c r="E28" s="60"/>
      <c r="F28" s="60"/>
      <c r="G28" s="60"/>
      <c r="H28" s="60"/>
      <c r="I28" s="60"/>
      <c r="J28" s="60"/>
      <c r="K28" s="61"/>
    </row>
    <row r="29" spans="1:11" ht="15.75" customHeight="1" x14ac:dyDescent="0.3">
      <c r="A29" s="65"/>
      <c r="B29" s="15" t="s">
        <v>20</v>
      </c>
      <c r="C29" s="55" t="s">
        <v>13</v>
      </c>
      <c r="D29" s="62" t="s">
        <v>14</v>
      </c>
      <c r="E29" s="66"/>
      <c r="F29" s="66"/>
      <c r="G29" s="66"/>
      <c r="H29" s="66"/>
      <c r="I29" s="66"/>
      <c r="J29" s="66"/>
      <c r="K29" s="63"/>
    </row>
    <row r="30" spans="1:11" ht="15.75" customHeight="1" x14ac:dyDescent="0.3">
      <c r="A30" s="65"/>
      <c r="B30" s="16" t="s">
        <v>15</v>
      </c>
      <c r="C30" s="54"/>
      <c r="D30" s="62" t="s">
        <v>7</v>
      </c>
      <c r="E30" s="63"/>
      <c r="F30" s="62" t="s">
        <v>8</v>
      </c>
      <c r="G30" s="63"/>
      <c r="H30" s="62" t="s">
        <v>9</v>
      </c>
      <c r="I30" s="63"/>
      <c r="J30" s="62" t="s">
        <v>10</v>
      </c>
      <c r="K30" s="63"/>
    </row>
    <row r="31" spans="1:11" ht="24.6" customHeight="1" x14ac:dyDescent="0.3">
      <c r="A31" s="65"/>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5"/>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5"/>
      <c r="B33" s="41" t="str">
        <f>RUBRICA!A17</f>
        <v>13. Colaboración y trabajo en equipo *</v>
      </c>
      <c r="C33" s="39" t="s">
        <v>7</v>
      </c>
      <c r="D33" s="17"/>
      <c r="E33" s="17" t="str">
        <f>IF(D33="X",100*0.1,"")</f>
        <v/>
      </c>
      <c r="F33" s="17" t="str">
        <f>IF($C33=L,"X","")</f>
        <v/>
      </c>
      <c r="G33" s="17" t="str">
        <f>IF(F33="X",60*0.1,"")</f>
        <v/>
      </c>
      <c r="H33" s="17" t="s">
        <v>126</v>
      </c>
      <c r="I33" s="17">
        <f>IF(H33="X",30*0.1,"")</f>
        <v>3</v>
      </c>
      <c r="J33" s="17" t="str">
        <f>IF($C33=NL,"X","")</f>
        <v/>
      </c>
      <c r="K33" s="17" t="str">
        <f>IF($J33="X",0,"")</f>
        <v/>
      </c>
    </row>
    <row r="34" spans="1:11" ht="15.75" customHeight="1" x14ac:dyDescent="0.35">
      <c r="A34" s="65"/>
      <c r="B34" s="22" t="s">
        <v>17</v>
      </c>
      <c r="C34" s="19">
        <f>E34+G34+I34+K34</f>
        <v>23</v>
      </c>
      <c r="D34" s="20"/>
      <c r="E34" s="20">
        <f>SUM(E31:E33)</f>
        <v>20</v>
      </c>
      <c r="F34" s="20"/>
      <c r="G34" s="20">
        <f t="shared" ref="G34:K34" si="30">SUM(G31:G33)</f>
        <v>0</v>
      </c>
      <c r="H34" s="20"/>
      <c r="I34" s="20">
        <f t="shared" si="30"/>
        <v>3</v>
      </c>
      <c r="J34" s="20"/>
      <c r="K34" s="20">
        <f t="shared" si="30"/>
        <v>0</v>
      </c>
    </row>
    <row r="35" spans="1:11" ht="15.75" customHeight="1" x14ac:dyDescent="0.35">
      <c r="A35" s="54"/>
      <c r="B35" s="18" t="s">
        <v>16</v>
      </c>
      <c r="C35" s="21">
        <f>VLOOKUP(C34,ESCALA_TRAB_EQUIP!A2:B62,2,FALSE)</f>
        <v>5.3</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4" t="s">
        <v>18</v>
      </c>
      <c r="B39" s="53" t="s">
        <v>19</v>
      </c>
      <c r="C39" s="56" t="str">
        <f>B5</f>
        <v>Benjamin Huentemilla</v>
      </c>
      <c r="D39" s="57"/>
      <c r="E39" s="57"/>
      <c r="F39" s="57"/>
      <c r="G39" s="57"/>
      <c r="H39" s="57"/>
      <c r="I39" s="57"/>
      <c r="J39" s="57"/>
      <c r="K39" s="58"/>
    </row>
    <row r="40" spans="1:11" ht="15.75" customHeight="1" x14ac:dyDescent="0.3">
      <c r="A40" s="65"/>
      <c r="B40" s="54"/>
      <c r="C40" s="59"/>
      <c r="D40" s="60"/>
      <c r="E40" s="60"/>
      <c r="F40" s="60"/>
      <c r="G40" s="60"/>
      <c r="H40" s="60"/>
      <c r="I40" s="60"/>
      <c r="J40" s="60"/>
      <c r="K40" s="61"/>
    </row>
    <row r="41" spans="1:11" ht="15.75" customHeight="1" x14ac:dyDescent="0.3">
      <c r="A41" s="65"/>
      <c r="B41" s="15" t="s">
        <v>20</v>
      </c>
      <c r="C41" s="55" t="s">
        <v>13</v>
      </c>
      <c r="D41" s="62" t="s">
        <v>14</v>
      </c>
      <c r="E41" s="66"/>
      <c r="F41" s="66"/>
      <c r="G41" s="66"/>
      <c r="H41" s="66"/>
      <c r="I41" s="66"/>
      <c r="J41" s="66"/>
      <c r="K41" s="63"/>
    </row>
    <row r="42" spans="1:11" ht="15.75" customHeight="1" x14ac:dyDescent="0.3">
      <c r="A42" s="65"/>
      <c r="B42" s="16" t="s">
        <v>15</v>
      </c>
      <c r="C42" s="54"/>
      <c r="D42" s="62" t="s">
        <v>7</v>
      </c>
      <c r="E42" s="63"/>
      <c r="F42" s="62" t="s">
        <v>8</v>
      </c>
      <c r="G42" s="63"/>
      <c r="H42" s="62" t="s">
        <v>9</v>
      </c>
      <c r="I42" s="63"/>
      <c r="J42" s="62" t="s">
        <v>10</v>
      </c>
      <c r="K42" s="63"/>
    </row>
    <row r="43" spans="1:11" ht="25.8" customHeight="1" x14ac:dyDescent="0.3">
      <c r="A43" s="65"/>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5"/>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5"/>
      <c r="B45" s="41" t="str">
        <f>RUBRICA!A17</f>
        <v>13. Colaboración y trabajo en equipo *</v>
      </c>
      <c r="C45" s="39" t="s">
        <v>7</v>
      </c>
      <c r="D45" s="17"/>
      <c r="E45" s="17" t="str">
        <f>IF(D45="X",100*0.1,"")</f>
        <v/>
      </c>
      <c r="F45" s="17" t="str">
        <f>IF($C45=L,"X","")</f>
        <v/>
      </c>
      <c r="G45" s="17" t="str">
        <f>IF(F45="X",60*0.1,"")</f>
        <v/>
      </c>
      <c r="H45" s="17" t="s">
        <v>126</v>
      </c>
      <c r="I45" s="17">
        <f>IF(H45="X",30*0.1,"")</f>
        <v>3</v>
      </c>
      <c r="J45" s="17" t="str">
        <f>IF($C45=NL,"X","")</f>
        <v/>
      </c>
      <c r="K45" s="17" t="str">
        <f>IF($J45="X",0,"")</f>
        <v/>
      </c>
    </row>
    <row r="46" spans="1:11" ht="15.75" customHeight="1" x14ac:dyDescent="0.35">
      <c r="A46" s="65"/>
      <c r="B46" s="22" t="s">
        <v>17</v>
      </c>
      <c r="C46" s="19">
        <f>E46+G46+I46+K46</f>
        <v>23</v>
      </c>
      <c r="D46" s="20"/>
      <c r="E46" s="20">
        <f>SUM(E43:E45)</f>
        <v>20</v>
      </c>
      <c r="F46" s="20"/>
      <c r="G46" s="20">
        <f t="shared" ref="G46" si="36">SUM(G43:G45)</f>
        <v>0</v>
      </c>
      <c r="H46" s="20"/>
      <c r="I46" s="20">
        <f t="shared" ref="I46" si="37">SUM(I43:I45)</f>
        <v>3</v>
      </c>
      <c r="J46" s="20"/>
      <c r="K46" s="20">
        <f t="shared" ref="K46" si="38">SUM(K43:K45)</f>
        <v>0</v>
      </c>
    </row>
    <row r="47" spans="1:11" ht="15.75" customHeight="1" x14ac:dyDescent="0.35">
      <c r="A47" s="54"/>
      <c r="B47" s="18" t="s">
        <v>16</v>
      </c>
      <c r="C47" s="21">
        <f>VLOOKUP(C46,ESCALA_TRAB_EQUIP!A2:B62,2,FALSE)</f>
        <v>5.3</v>
      </c>
    </row>
    <row r="48" spans="1:11" ht="15.75" customHeight="1" x14ac:dyDescent="0.35">
      <c r="B48" s="23"/>
      <c r="C48" s="24"/>
    </row>
    <row r="49" spans="1:11" ht="15.75" customHeight="1" x14ac:dyDescent="0.35">
      <c r="B49" s="23"/>
      <c r="C49" s="24"/>
    </row>
    <row r="50" spans="1:11" ht="15.75" customHeight="1" x14ac:dyDescent="0.3">
      <c r="A50" s="64" t="s">
        <v>18</v>
      </c>
      <c r="B50" s="53" t="s">
        <v>19</v>
      </c>
      <c r="C50" s="56" t="str">
        <f>B6</f>
        <v>Zuar Sepulveda</v>
      </c>
      <c r="D50" s="57"/>
      <c r="E50" s="57"/>
      <c r="F50" s="57"/>
      <c r="G50" s="57"/>
      <c r="H50" s="57"/>
      <c r="I50" s="57"/>
      <c r="J50" s="57"/>
      <c r="K50" s="58"/>
    </row>
    <row r="51" spans="1:11" ht="15.75" customHeight="1" x14ac:dyDescent="0.3">
      <c r="A51" s="65"/>
      <c r="B51" s="54"/>
      <c r="C51" s="59"/>
      <c r="D51" s="60"/>
      <c r="E51" s="60"/>
      <c r="F51" s="60"/>
      <c r="G51" s="60"/>
      <c r="H51" s="60"/>
      <c r="I51" s="60"/>
      <c r="J51" s="60"/>
      <c r="K51" s="61"/>
    </row>
    <row r="52" spans="1:11" ht="15.75" customHeight="1" x14ac:dyDescent="0.3">
      <c r="A52" s="65"/>
      <c r="B52" s="15" t="s">
        <v>20</v>
      </c>
      <c r="C52" s="55" t="s">
        <v>13</v>
      </c>
      <c r="D52" s="62" t="s">
        <v>14</v>
      </c>
      <c r="E52" s="66"/>
      <c r="F52" s="66"/>
      <c r="G52" s="66"/>
      <c r="H52" s="66"/>
      <c r="I52" s="66"/>
      <c r="J52" s="66"/>
      <c r="K52" s="63"/>
    </row>
    <row r="53" spans="1:11" ht="15.75" customHeight="1" x14ac:dyDescent="0.3">
      <c r="A53" s="65"/>
      <c r="B53" s="16" t="s">
        <v>15</v>
      </c>
      <c r="C53" s="54"/>
      <c r="D53" s="62" t="s">
        <v>7</v>
      </c>
      <c r="E53" s="63"/>
      <c r="F53" s="62" t="s">
        <v>8</v>
      </c>
      <c r="G53" s="63"/>
      <c r="H53" s="62" t="s">
        <v>9</v>
      </c>
      <c r="I53" s="63"/>
      <c r="J53" s="62" t="s">
        <v>10</v>
      </c>
      <c r="K53" s="63"/>
    </row>
    <row r="54" spans="1:11" ht="25.8" customHeight="1" x14ac:dyDescent="0.3">
      <c r="A54" s="65"/>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5"/>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5"/>
      <c r="B56" s="41" t="str">
        <f>RUBRICA!A17</f>
        <v>13. Colaboración y trabajo en equipo *</v>
      </c>
      <c r="C56" s="39" t="s">
        <v>7</v>
      </c>
      <c r="D56" s="17"/>
      <c r="E56" s="17" t="str">
        <f>IF(D56="X",100*0.1,"")</f>
        <v/>
      </c>
      <c r="F56" s="17" t="str">
        <f>IF($C56=L,"X","")</f>
        <v/>
      </c>
      <c r="G56" s="17" t="str">
        <f>IF(F56="X",60*0.1,"")</f>
        <v/>
      </c>
      <c r="H56" s="17" t="s">
        <v>126</v>
      </c>
      <c r="I56" s="17">
        <f>IF(H56="X",30*0.1,"")</f>
        <v>3</v>
      </c>
      <c r="J56" s="17" t="str">
        <f>IF($C56=NL,"X","")</f>
        <v/>
      </c>
      <c r="K56" s="17" t="str">
        <f>IF($J56="X",0,"")</f>
        <v/>
      </c>
    </row>
    <row r="57" spans="1:11" ht="15.75" customHeight="1" x14ac:dyDescent="0.35">
      <c r="A57" s="65"/>
      <c r="B57" s="22" t="s">
        <v>17</v>
      </c>
      <c r="C57" s="19">
        <f>E57+G57+I57+K57</f>
        <v>23</v>
      </c>
      <c r="D57" s="20">
        <f>COUNTIF(D55:D56,"X")</f>
        <v>1</v>
      </c>
      <c r="E57" s="20">
        <f>SUM(E54:E56)</f>
        <v>20</v>
      </c>
      <c r="F57" s="20">
        <f t="shared" ref="F57" si="44">SUM(F54:F56)</f>
        <v>0</v>
      </c>
      <c r="G57" s="20">
        <f t="shared" ref="G57" si="45">SUM(G54:G56)</f>
        <v>0</v>
      </c>
      <c r="H57" s="20">
        <f t="shared" ref="H57" si="46">SUM(H54:H56)</f>
        <v>0</v>
      </c>
      <c r="I57" s="20">
        <f t="shared" ref="I57" si="47">SUM(I54:I56)</f>
        <v>3</v>
      </c>
      <c r="J57" s="20">
        <f t="shared" ref="J57" si="48">SUM(J54:J56)</f>
        <v>0</v>
      </c>
      <c r="K57" s="20">
        <f t="shared" ref="K57" si="49">SUM(K54:K56)</f>
        <v>0</v>
      </c>
    </row>
    <row r="58" spans="1:11" ht="15.75" customHeight="1" x14ac:dyDescent="0.35">
      <c r="A58" s="54"/>
      <c r="B58" s="18" t="s">
        <v>16</v>
      </c>
      <c r="C58" s="21">
        <f>VLOOKUP(C57,ESCALA_TRAB_EQUIP!A2:B62,2,FALSE)</f>
        <v>5.3</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5" zoomScale="80" zoomScaleNormal="80" workbookViewId="0">
      <selection activeCell="A2" sqref="A2:F18"/>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CF6CD-07B9-44AF-A8B5-240CFC700EE0}">
  <dimension ref="B2:B80"/>
  <sheetViews>
    <sheetView topLeftCell="A12" workbookViewId="0">
      <selection activeCell="B20" sqref="B20"/>
    </sheetView>
  </sheetViews>
  <sheetFormatPr baseColWidth="10" defaultRowHeight="14.4" x14ac:dyDescent="0.3"/>
  <cols>
    <col min="2" max="2" width="47.44140625" customWidth="1"/>
  </cols>
  <sheetData>
    <row r="2" spans="2:2" ht="18" x14ac:dyDescent="0.3">
      <c r="B2" s="84" t="s">
        <v>98</v>
      </c>
    </row>
    <row r="4" spans="2:2" x14ac:dyDescent="0.3">
      <c r="B4" s="85" t="s">
        <v>27</v>
      </c>
    </row>
    <row r="5" spans="2:2" x14ac:dyDescent="0.3">
      <c r="B5" s="86"/>
    </row>
    <row r="6" spans="2:2" x14ac:dyDescent="0.3">
      <c r="B6" s="87" t="s">
        <v>114</v>
      </c>
    </row>
    <row r="7" spans="2:2" x14ac:dyDescent="0.3">
      <c r="B7" s="86"/>
    </row>
    <row r="8" spans="2:2" ht="409.6" x14ac:dyDescent="0.3">
      <c r="B8" s="89" t="s">
        <v>99</v>
      </c>
    </row>
    <row r="10" spans="2:2" x14ac:dyDescent="0.3">
      <c r="B10" s="85" t="s">
        <v>32</v>
      </c>
    </row>
    <row r="11" spans="2:2" x14ac:dyDescent="0.3">
      <c r="B11" s="86"/>
    </row>
    <row r="12" spans="2:2" x14ac:dyDescent="0.3">
      <c r="B12" s="87" t="s">
        <v>115</v>
      </c>
    </row>
    <row r="13" spans="2:2" x14ac:dyDescent="0.3">
      <c r="B13" s="86"/>
    </row>
    <row r="14" spans="2:2" x14ac:dyDescent="0.3">
      <c r="B14" s="87" t="s">
        <v>116</v>
      </c>
    </row>
    <row r="16" spans="2:2" x14ac:dyDescent="0.3">
      <c r="B16" s="85" t="s">
        <v>100</v>
      </c>
    </row>
    <row r="17" spans="2:2" x14ac:dyDescent="0.3">
      <c r="B17" s="86"/>
    </row>
    <row r="18" spans="2:2" x14ac:dyDescent="0.3">
      <c r="B18" s="87" t="s">
        <v>114</v>
      </c>
    </row>
    <row r="19" spans="2:2" x14ac:dyDescent="0.3">
      <c r="B19" s="86"/>
    </row>
    <row r="20" spans="2:2" ht="115.2" x14ac:dyDescent="0.3">
      <c r="B20" s="89" t="s">
        <v>101</v>
      </c>
    </row>
    <row r="22" spans="2:2" x14ac:dyDescent="0.3">
      <c r="B22" s="85" t="s">
        <v>102</v>
      </c>
    </row>
    <row r="23" spans="2:2" x14ac:dyDescent="0.3">
      <c r="B23" s="86"/>
    </row>
    <row r="24" spans="2:2" x14ac:dyDescent="0.3">
      <c r="B24" s="87" t="s">
        <v>117</v>
      </c>
    </row>
    <row r="25" spans="2:2" x14ac:dyDescent="0.3">
      <c r="B25" s="86"/>
    </row>
    <row r="26" spans="2:2" x14ac:dyDescent="0.3">
      <c r="B26" s="87" t="s">
        <v>118</v>
      </c>
    </row>
    <row r="28" spans="2:2" x14ac:dyDescent="0.3">
      <c r="B28" s="85" t="s">
        <v>103</v>
      </c>
    </row>
    <row r="29" spans="2:2" x14ac:dyDescent="0.3">
      <c r="B29" s="86"/>
    </row>
    <row r="30" spans="2:2" x14ac:dyDescent="0.3">
      <c r="B30" s="87" t="s">
        <v>117</v>
      </c>
    </row>
    <row r="31" spans="2:2" x14ac:dyDescent="0.3">
      <c r="B31" s="86"/>
    </row>
    <row r="32" spans="2:2" x14ac:dyDescent="0.3">
      <c r="B32" s="87" t="s">
        <v>119</v>
      </c>
    </row>
    <row r="34" spans="2:2" x14ac:dyDescent="0.3">
      <c r="B34" s="85" t="s">
        <v>104</v>
      </c>
    </row>
    <row r="35" spans="2:2" x14ac:dyDescent="0.3">
      <c r="B35" s="86"/>
    </row>
    <row r="36" spans="2:2" x14ac:dyDescent="0.3">
      <c r="B36" s="87" t="s">
        <v>114</v>
      </c>
    </row>
    <row r="37" spans="2:2" x14ac:dyDescent="0.3">
      <c r="B37" s="86"/>
    </row>
    <row r="38" spans="2:2" x14ac:dyDescent="0.3">
      <c r="B38" s="88" t="s">
        <v>105</v>
      </c>
    </row>
    <row r="40" spans="2:2" x14ac:dyDescent="0.3">
      <c r="B40" s="85" t="s">
        <v>106</v>
      </c>
    </row>
    <row r="41" spans="2:2" x14ac:dyDescent="0.3">
      <c r="B41" s="86"/>
    </row>
    <row r="42" spans="2:2" x14ac:dyDescent="0.3">
      <c r="B42" s="87" t="s">
        <v>114</v>
      </c>
    </row>
    <row r="43" spans="2:2" x14ac:dyDescent="0.3">
      <c r="B43" s="86"/>
    </row>
    <row r="44" spans="2:2" x14ac:dyDescent="0.3">
      <c r="B44" s="88" t="s">
        <v>107</v>
      </c>
    </row>
    <row r="46" spans="2:2" x14ac:dyDescent="0.3">
      <c r="B46" s="85" t="s">
        <v>58</v>
      </c>
    </row>
    <row r="47" spans="2:2" x14ac:dyDescent="0.3">
      <c r="B47" s="86"/>
    </row>
    <row r="48" spans="2:2" x14ac:dyDescent="0.3">
      <c r="B48" s="87" t="s">
        <v>117</v>
      </c>
    </row>
    <row r="49" spans="2:2" x14ac:dyDescent="0.3">
      <c r="B49" s="86"/>
    </row>
    <row r="50" spans="2:2" x14ac:dyDescent="0.3">
      <c r="B50" s="87" t="s">
        <v>120</v>
      </c>
    </row>
    <row r="52" spans="2:2" x14ac:dyDescent="0.3">
      <c r="B52" s="85" t="s">
        <v>108</v>
      </c>
    </row>
    <row r="53" spans="2:2" x14ac:dyDescent="0.3">
      <c r="B53" s="86"/>
    </row>
    <row r="54" spans="2:2" x14ac:dyDescent="0.3">
      <c r="B54" s="87" t="s">
        <v>121</v>
      </c>
    </row>
    <row r="55" spans="2:2" x14ac:dyDescent="0.3">
      <c r="B55" s="86"/>
    </row>
    <row r="56" spans="2:2" x14ac:dyDescent="0.3">
      <c r="B56" s="87" t="s">
        <v>122</v>
      </c>
    </row>
    <row r="58" spans="2:2" x14ac:dyDescent="0.3">
      <c r="B58" s="85" t="s">
        <v>109</v>
      </c>
    </row>
    <row r="59" spans="2:2" x14ac:dyDescent="0.3">
      <c r="B59" s="86"/>
    </row>
    <row r="60" spans="2:2" x14ac:dyDescent="0.3">
      <c r="B60" s="87" t="s">
        <v>115</v>
      </c>
    </row>
    <row r="61" spans="2:2" x14ac:dyDescent="0.3">
      <c r="B61" s="86"/>
    </row>
    <row r="62" spans="2:2" x14ac:dyDescent="0.3">
      <c r="B62" s="87" t="s">
        <v>123</v>
      </c>
    </row>
    <row r="64" spans="2:2" x14ac:dyDescent="0.3">
      <c r="B64" s="85" t="s">
        <v>110</v>
      </c>
    </row>
    <row r="65" spans="2:2" x14ac:dyDescent="0.3">
      <c r="B65" s="86"/>
    </row>
    <row r="66" spans="2:2" x14ac:dyDescent="0.3">
      <c r="B66" s="87" t="s">
        <v>114</v>
      </c>
    </row>
    <row r="67" spans="2:2" x14ac:dyDescent="0.3">
      <c r="B67" s="86"/>
    </row>
    <row r="68" spans="2:2" x14ac:dyDescent="0.3">
      <c r="B68" s="88" t="s">
        <v>111</v>
      </c>
    </row>
    <row r="70" spans="2:2" x14ac:dyDescent="0.3">
      <c r="B70" s="85" t="s">
        <v>112</v>
      </c>
    </row>
    <row r="71" spans="2:2" x14ac:dyDescent="0.3">
      <c r="B71" s="86"/>
    </row>
    <row r="72" spans="2:2" x14ac:dyDescent="0.3">
      <c r="B72" s="87" t="s">
        <v>114</v>
      </c>
    </row>
    <row r="73" spans="2:2" x14ac:dyDescent="0.3">
      <c r="B73" s="86"/>
    </row>
    <row r="74" spans="2:2" x14ac:dyDescent="0.3">
      <c r="B74" s="87" t="s">
        <v>124</v>
      </c>
    </row>
    <row r="76" spans="2:2" x14ac:dyDescent="0.3">
      <c r="B76" s="85" t="s">
        <v>113</v>
      </c>
    </row>
    <row r="77" spans="2:2" x14ac:dyDescent="0.3">
      <c r="B77" s="86"/>
    </row>
    <row r="78" spans="2:2" x14ac:dyDescent="0.3">
      <c r="B78" s="87" t="s">
        <v>114</v>
      </c>
    </row>
    <row r="79" spans="2:2" x14ac:dyDescent="0.3">
      <c r="B79" s="86"/>
    </row>
    <row r="80" spans="2:2" x14ac:dyDescent="0.3">
      <c r="B80" s="87" t="s">
        <v>125</v>
      </c>
    </row>
  </sheetData>
  <hyperlinks>
    <hyperlink ref="B8" r:id="rId1" display="http://www.youtube.com/watch?v=tDi1QG84hMM&amp;t=5460" xr:uid="{AA995338-C79A-4D1E-8ED3-52D50E04E9CD}"/>
    <hyperlink ref="B20" r:id="rId2" display="http://www.youtube.com/watch?v=tDi1QG84hMM&amp;t=5131" xr:uid="{715C20A4-A9DD-4CBF-BFA0-093F5A9B816A}"/>
    <hyperlink ref="B38" r:id="rId3" display="http://www.youtube.com/watch?v=tDi1QG84hMM&amp;t=33128" xr:uid="{3DD76B38-2BEB-4A0C-AFC4-0D981670D164}"/>
    <hyperlink ref="B44" r:id="rId4" display="http://www.youtube.com/watch?v=tDi1QG84hMM&amp;t=19620" xr:uid="{611FB193-604E-4907-9EFD-8E60AB4E93B4}"/>
    <hyperlink ref="B68" r:id="rId5" display="http://www.youtube.com/watch?v=tDi1QG84hMM&amp;t=25980" xr:uid="{8827172D-DE52-4697-A9AA-E34048D2B54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EVALUACION1</vt:lpstr>
      <vt:lpstr>RUBRICA</vt:lpstr>
      <vt:lpstr>Hoja1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c.correas</cp:lastModifiedBy>
  <dcterms:created xsi:type="dcterms:W3CDTF">2023-08-07T04:08:01Z</dcterms:created>
  <dcterms:modified xsi:type="dcterms:W3CDTF">2025-09-08T20:30:55Z</dcterms:modified>
</cp:coreProperties>
</file>